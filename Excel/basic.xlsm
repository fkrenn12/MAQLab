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kte\Python\Messdatenerfassung\MAQLab\Excel\"/>
    </mc:Choice>
  </mc:AlternateContent>
  <xr:revisionPtr revIDLastSave="0" documentId="13_ncr:1_{4265D31F-B215-4319-B97C-A908B3D67E3D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  <sheet name="xlwings.conf" sheetId="2" r:id="rId2"/>
  </sheets>
  <functionGroups builtInGroupCount="19"/>
  <definedNames>
    <definedName name="Messgrößen">Sheet1!$P$1:$P$3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16" i="1"/>
  <c r="O28" i="1"/>
  <c r="N28" i="1"/>
  <c r="L15" i="1" a="1"/>
  <c r="L15" i="1" s="1"/>
  <c r="L14" i="1" l="1" a="1"/>
  <c r="L14" i="1" s="1"/>
  <c r="Q14" i="1" a="1"/>
  <c r="Q14" i="1" s="1"/>
  <c r="P14" i="1" a="1"/>
  <c r="P14" i="1" s="1"/>
  <c r="O14" i="1" a="1"/>
  <c r="O14" i="1" s="1"/>
  <c r="N14" i="1" a="1"/>
  <c r="N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<sst xmlns="http://schemas.openxmlformats.org/spreadsheetml/2006/main" count="33" uniqueCount="32">
  <si>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</si>
  <si>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</si>
  <si>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</si>
  <si>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</si>
  <si>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</si>
  <si>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</si>
  <si>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</si>
  <si>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</si>
  <si>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</si>
  <si>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</si>
  <si>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</si>
  <si>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</si>
  <si>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</si>
  <si>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</si>
  <si>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</si>
  <si>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</si>
  <si>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</si>
  <si>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</si>
  <si>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</si>
  <si>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</si>
  <si>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vdc</t>
  </si>
  <si>
    <t>vac</t>
  </si>
  <si>
    <t>idc</t>
  </si>
  <si>
    <t>iac</t>
  </si>
  <si>
    <t>Verfuegbar</t>
  </si>
  <si>
    <t>NTP6531</t>
  </si>
  <si>
    <t>t</t>
  </si>
  <si>
    <t>ESP32 R4 V1.0.0</t>
  </si>
  <si>
    <t>Connected</t>
  </si>
  <si>
    <t>Messung gestopped</t>
  </si>
  <si>
    <t>Acessnumber</t>
  </si>
  <si>
    <t>Mittelwert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</si>
</sst>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1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0A0A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9" fillId="4" borderId="0" xfId="0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O$13" fmlaRange="$F$23:$F$26" noThreeD="1" sel="3" val="0"/>
</file>

<file path=xl/ctrlProps/ctrlProp3.xml><?xml version="1.0" encoding="utf-8"?>
<formControlPr xmlns="http://schemas.microsoft.com/office/spreadsheetml/2009/9/main" objectType="Drop" dropStyle="combo" dx="22" fmlaLink="$P$13" fmlaRange="$F$23:$F$26" noThreeD="1" sel="2" val="0"/>
</file>

<file path=xl/ctrlProps/ctrlProp4.xml><?xml version="1.0" encoding="utf-8"?>
<formControlPr xmlns="http://schemas.microsoft.com/office/spreadsheetml/2009/9/main" objectType="Drop" dropStyle="combo" dx="22" fmlaLink="$Q$13" fmlaRange="$F$23:$F$26" noThreeD="1" sel="4" val="0"/>
</file>

<file path=xl/ctrlProps/ctrlProp5.xml><?xml version="1.0" encoding="utf-8"?>
<formControlPr xmlns="http://schemas.microsoft.com/office/spreadsheetml/2009/9/main" objectType="Drop" dropStyle="combo" dx="22" fmlaLink="$L$13" fmlaRange="$C$23:$C$30" noThreeD="1" sel="2" val="0"/>
</file>

<file path=xl/ctrlProps/ctrlProp6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7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8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9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4</xdr:row>
          <xdr:rowOff>152400</xdr:rowOff>
        </xdr:from>
        <xdr:to>
          <xdr:col>9</xdr:col>
          <xdr:colOff>38100</xdr:colOff>
          <xdr:row>16</xdr:row>
          <xdr:rowOff>95250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180975</xdr:rowOff>
        </xdr:from>
        <xdr:to>
          <xdr:col>9</xdr:col>
          <xdr:colOff>838200</xdr:colOff>
          <xdr:row>2</xdr:row>
          <xdr:rowOff>85725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0</xdr:rowOff>
        </xdr:from>
        <xdr:to>
          <xdr:col>11</xdr:col>
          <xdr:colOff>838200</xdr:colOff>
          <xdr:row>13</xdr:row>
          <xdr:rowOff>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19050</xdr:rowOff>
        </xdr:from>
        <xdr:to>
          <xdr:col>13</xdr:col>
          <xdr:colOff>828675</xdr:colOff>
          <xdr:row>12</xdr:row>
          <xdr:rowOff>19050</xdr:rowOff>
        </xdr:to>
        <xdr:sp macro="" textlink="">
          <xdr:nvSpPr>
            <xdr:cNvPr id="2087" name="Drop Dow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19050</xdr:rowOff>
        </xdr:from>
        <xdr:to>
          <xdr:col>14</xdr:col>
          <xdr:colOff>828675</xdr:colOff>
          <xdr:row>12</xdr:row>
          <xdr:rowOff>19050</xdr:rowOff>
        </xdr:to>
        <xdr:sp macro="" textlink="">
          <xdr:nvSpPr>
            <xdr:cNvPr id="2089" name="Drop Dow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19050</xdr:rowOff>
        </xdr:from>
        <xdr:to>
          <xdr:col>15</xdr:col>
          <xdr:colOff>828675</xdr:colOff>
          <xdr:row>12</xdr:row>
          <xdr:rowOff>19050</xdr:rowOff>
        </xdr:to>
        <xdr:sp macro="" textlink="">
          <xdr:nvSpPr>
            <xdr:cNvPr id="2090" name="Drop Dow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19050</xdr:rowOff>
        </xdr:from>
        <xdr:to>
          <xdr:col>16</xdr:col>
          <xdr:colOff>828675</xdr:colOff>
          <xdr:row>12</xdr:row>
          <xdr:rowOff>19050</xdr:rowOff>
        </xdr:to>
        <xdr:sp macro="" textlink="">
          <xdr:nvSpPr>
            <xdr:cNvPr id="2091" name="Drop Dow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733425</xdr:colOff>
          <xdr:row>20</xdr:row>
          <xdr:rowOff>38100</xdr:rowOff>
        </xdr:from>
        <xdr:to>
          <xdr:col>11</xdr:col>
          <xdr:colOff>1162050</xdr:colOff>
          <xdr:row>21</xdr:row>
          <xdr:rowOff>161925</xdr:rowOff>
        </xdr:to>
        <xdr:sp macro="" textlink="">
          <xdr:nvSpPr>
            <xdr:cNvPr id="2093" name="Command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704850</xdr:colOff>
          <xdr:row>21</xdr:row>
          <xdr:rowOff>142875</xdr:rowOff>
        </xdr:from>
        <xdr:to>
          <xdr:col>11</xdr:col>
          <xdr:colOff>1057275</xdr:colOff>
          <xdr:row>23</xdr:row>
          <xdr:rowOff>38100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Kontrollkästchen 46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2"/>
  <sheetViews>
    <sheetView tabSelected="1" workbookViewId="0">
      <selection activeCell="L26" sqref="L26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</cols>
  <sheetData>
    <row r="1" spans="1:17" x14ac:dyDescent="0.25">
      <c r="B1" s="13" t="s">
        <v>29</v>
      </c>
      <c r="C1" s="12"/>
      <c r="E1" s="9" t="s">
        <v>28</v>
      </c>
    </row>
    <row r="2" spans="1:17" x14ac:dyDescent="0.25">
      <c r="C2" s="8"/>
      <c r="G2" s="3" t="s">
        <v>15</v>
      </c>
      <c r="H2" s="3" t="s">
        <v>17</v>
      </c>
    </row>
    <row r="3" spans="1:17" x14ac:dyDescent="0.25">
      <c r="A3" s="7">
        <v>0</v>
      </c>
      <c r="G3" s="3" t="s">
        <v>16</v>
      </c>
      <c r="H3" s="3"/>
    </row>
    <row r="4" spans="1:17" x14ac:dyDescent="0.25">
      <c r="A4" s="7">
        <v>1</v>
      </c>
      <c r="G4" s="3">
        <v>0.1</v>
      </c>
      <c r="H4" s="3">
        <v>10</v>
      </c>
    </row>
    <row r="5" spans="1:17" x14ac:dyDescent="0.25">
      <c r="A5" s="7">
        <v>2</v>
      </c>
      <c r="J5">
        <v>9</v>
      </c>
    </row>
    <row r="6" spans="1:17" x14ac:dyDescent="0.25">
      <c r="A6" s="7">
        <v>3</v>
      </c>
      <c r="J6">
        <v>10</v>
      </c>
    </row>
    <row r="7" spans="1:17" x14ac:dyDescent="0.25">
      <c r="A7" s="7">
        <v>4</v>
      </c>
    </row>
    <row r="8" spans="1:17" x14ac:dyDescent="0.25">
      <c r="A8" s="7">
        <v>5</v>
      </c>
    </row>
    <row r="9" spans="1:17" x14ac:dyDescent="0.25">
      <c r="A9" s="7">
        <v>6</v>
      </c>
    </row>
    <row r="10" spans="1:17" x14ac:dyDescent="0.25">
      <c r="A10" s="7">
        <v>7</v>
      </c>
    </row>
    <row r="11" spans="1:17" x14ac:dyDescent="0.25">
      <c r="A11" s="7">
        <v>8</v>
      </c>
      <c r="M11" t="s">
        <v>30</v>
      </c>
      <c r="N11">
        <v>9173</v>
      </c>
      <c r="O11">
        <v>9173</v>
      </c>
      <c r="P11">
        <v>9629</v>
      </c>
      <c r="Q11">
        <v>9629</v>
      </c>
    </row>
    <row r="12" spans="1:17" x14ac:dyDescent="0.25">
      <c r="A12" s="6">
        <v>9</v>
      </c>
    </row>
    <row r="13" spans="1:17" x14ac:dyDescent="0.25">
      <c r="A13" s="7">
        <v>10</v>
      </c>
      <c r="L13">
        <v>2</v>
      </c>
      <c r="N13">
        <v>1</v>
      </c>
      <c r="O13">
        <v>3</v>
      </c>
      <c r="P13">
        <v>2</v>
      </c>
      <c r="Q13">
        <v>4</v>
      </c>
    </row>
    <row r="14" spans="1:17" x14ac:dyDescent="0.25">
      <c r="A14" s="7">
        <v>11</v>
      </c>
      <c r="L14" s="10" t="str" cm="1">
        <f t="array" ref="L14">INDEX(C23:C33,L13)</f>
        <v>NTP6531</v>
      </c>
      <c r="M14" t="s">
        <v>26</v>
      </c>
      <c r="N14" t="str" cm="1">
        <f t="array" ref="N14">INDEX(F23:F26,N13)</f>
        <v>vdc</v>
      </c>
      <c r="O14" t="str" cm="1">
        <f t="array" ref="O14">INDEX(F23:F26,O13)</f>
        <v>idc</v>
      </c>
      <c r="P14" t="str" cm="1">
        <f t="array" ref="P14">INDEX(F23:F26,P13)</f>
        <v>vac</v>
      </c>
      <c r="Q14" t="str" cm="1">
        <f t="array" ref="Q14">INDEX(F23:F26,Q13)</f>
        <v>iac</v>
      </c>
    </row>
    <row r="15" spans="1:17" x14ac:dyDescent="0.25">
      <c r="A15" s="7">
        <v>12</v>
      </c>
      <c r="L15" s="11" cm="1">
        <f t="array" ref="L15">INDEX(D23:D33,L13)</f>
        <v>9595</v>
      </c>
    </row>
    <row r="16" spans="1:17" x14ac:dyDescent="0.25">
      <c r="A16" s="7">
        <v>13</v>
      </c>
      <c r="M16">
        <f>N16*O16</f>
        <v>0</v>
      </c>
      <c r="N16">
        <v>0</v>
      </c>
      <c r="O16">
        <v>0</v>
      </c>
    </row>
    <row r="17" spans="1:15" x14ac:dyDescent="0.25">
      <c r="A17" s="7">
        <v>14</v>
      </c>
      <c r="M17">
        <f t="shared" ref="M17:M25" si="0">N17*O17</f>
        <v>0</v>
      </c>
      <c r="N17">
        <v>0</v>
      </c>
      <c r="O17">
        <v>0</v>
      </c>
    </row>
    <row r="18" spans="1:15" x14ac:dyDescent="0.25">
      <c r="A18" s="6">
        <v>15</v>
      </c>
      <c r="M18">
        <f t="shared" si="0"/>
        <v>0</v>
      </c>
      <c r="N18">
        <v>0</v>
      </c>
      <c r="O18">
        <v>0</v>
      </c>
    </row>
    <row r="19" spans="1:15" x14ac:dyDescent="0.25">
      <c r="A19" s="7">
        <v>16</v>
      </c>
      <c r="M19">
        <f t="shared" si="0"/>
        <v>0</v>
      </c>
      <c r="N19">
        <v>0</v>
      </c>
      <c r="O19">
        <v>0</v>
      </c>
    </row>
    <row r="20" spans="1:15" x14ac:dyDescent="0.25">
      <c r="A20" s="7">
        <v>17</v>
      </c>
      <c r="M20">
        <f t="shared" si="0"/>
        <v>0</v>
      </c>
      <c r="N20">
        <v>0</v>
      </c>
      <c r="O20">
        <v>0</v>
      </c>
    </row>
    <row r="21" spans="1:15" x14ac:dyDescent="0.25">
      <c r="A21" s="7">
        <v>18</v>
      </c>
      <c r="M21">
        <f t="shared" si="0"/>
        <v>0</v>
      </c>
      <c r="N21">
        <v>0</v>
      </c>
      <c r="O21">
        <v>0</v>
      </c>
    </row>
    <row r="22" spans="1:15" x14ac:dyDescent="0.25">
      <c r="A22" s="7">
        <v>19</v>
      </c>
      <c r="C22" t="s">
        <v>24</v>
      </c>
      <c r="M22">
        <f t="shared" si="0"/>
        <v>0</v>
      </c>
      <c r="N22">
        <v>0</v>
      </c>
      <c r="O22">
        <v>0</v>
      </c>
    </row>
    <row r="23" spans="1:15" x14ac:dyDescent="0.25">
      <c r="A23" s="7">
        <v>20</v>
      </c>
      <c r="C23" t="s">
        <v>25</v>
      </c>
      <c r="D23">
        <v>9757</v>
      </c>
      <c r="F23" t="s">
        <v>20</v>
      </c>
      <c r="M23">
        <f t="shared" si="0"/>
        <v>0</v>
      </c>
      <c r="N23">
        <v>0</v>
      </c>
      <c r="O23">
        <v>0</v>
      </c>
    </row>
    <row r="24" spans="1:15" x14ac:dyDescent="0.25">
      <c r="A24" s="7">
        <v>21</v>
      </c>
      <c r="C24" t="s">
        <v>25</v>
      </c>
      <c r="D24">
        <v>9595</v>
      </c>
      <c r="F24" t="s">
        <v>21</v>
      </c>
      <c r="M24">
        <f t="shared" si="0"/>
        <v>0</v>
      </c>
      <c r="N24">
        <v>0</v>
      </c>
      <c r="O24">
        <v>0</v>
      </c>
    </row>
    <row r="25" spans="1:15" x14ac:dyDescent="0.25">
      <c r="A25" s="7">
        <v>22</v>
      </c>
      <c r="C25" t="s">
        <v>27</v>
      </c>
      <c r="D25">
        <v>8385</v>
      </c>
      <c r="F25" t="s">
        <v>22</v>
      </c>
      <c r="M25">
        <f t="shared" si="0"/>
        <v>0</v>
      </c>
      <c r="N25">
        <v>0</v>
      </c>
      <c r="O25">
        <v>0</v>
      </c>
    </row>
    <row r="26" spans="1:15" x14ac:dyDescent="0.25">
      <c r="A26" s="7">
        <v>23</v>
      </c>
      <c r="F26" t="s">
        <v>23</v>
      </c>
    </row>
    <row r="27" spans="1:15" x14ac:dyDescent="0.25">
      <c r="A27" s="6">
        <v>24</v>
      </c>
    </row>
    <row r="28" spans="1:15" x14ac:dyDescent="0.25">
      <c r="A28" s="6">
        <v>25</v>
      </c>
      <c r="M28" t="s">
        <v>31</v>
      </c>
      <c r="N28">
        <f>AVERAGE(N16:N25)</f>
        <v>0</v>
      </c>
      <c r="O28">
        <f>AVERAGE(O16:O25)</f>
        <v>0</v>
      </c>
    </row>
    <row r="29" spans="1:15" x14ac:dyDescent="0.25">
      <c r="A29" s="7">
        <v>26</v>
      </c>
    </row>
    <row r="30" spans="1:15" x14ac:dyDescent="0.25">
      <c r="A30" s="7">
        <v>27</v>
      </c>
    </row>
    <row r="31" spans="1:15" x14ac:dyDescent="0.25">
      <c r="A31" s="7">
        <v>28</v>
      </c>
    </row>
    <row r="32" spans="1:15" x14ac:dyDescent="0.25">
      <c r="A32" s="7">
        <v>29</v>
      </c>
    </row>
    <row r="33" spans="1:14" x14ac:dyDescent="0.25">
      <c r="A33" s="7">
        <v>30</v>
      </c>
    </row>
    <row r="34" spans="1:14" x14ac:dyDescent="0.25">
      <c r="A34" s="7">
        <v>31</v>
      </c>
    </row>
    <row r="35" spans="1:14" x14ac:dyDescent="0.25">
      <c r="A35" s="7">
        <v>32</v>
      </c>
    </row>
    <row r="36" spans="1:14" x14ac:dyDescent="0.25">
      <c r="A36" s="7">
        <v>33</v>
      </c>
    </row>
    <row r="37" spans="1:14" x14ac:dyDescent="0.25">
      <c r="A37" s="7">
        <v>34</v>
      </c>
      <c r="N37">
        <v>0</v>
      </c>
    </row>
    <row r="38" spans="1:14" x14ac:dyDescent="0.25">
      <c r="A38" s="7">
        <v>35</v>
      </c>
      <c r="N38">
        <v>0</v>
      </c>
    </row>
    <row r="39" spans="1:14" x14ac:dyDescent="0.25">
      <c r="A39" s="7">
        <v>36</v>
      </c>
      <c r="N39">
        <v>0</v>
      </c>
    </row>
    <row r="40" spans="1:14" x14ac:dyDescent="0.25">
      <c r="A40" s="7">
        <v>37</v>
      </c>
      <c r="N40">
        <v>0</v>
      </c>
    </row>
    <row r="41" spans="1:14" x14ac:dyDescent="0.25">
      <c r="A41" s="7">
        <v>38</v>
      </c>
    </row>
    <row r="42" spans="1:14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MessageBox">
          <controlPr defaultSize="0" autoLine="0" r:id="rId5">
            <anchor moveWithCells="1">
              <from>
                <xdr:col>3</xdr:col>
                <xdr:colOff>762000</xdr:colOff>
                <xdr:row>4</xdr:row>
                <xdr:rowOff>152400</xdr:rowOff>
              </from>
              <to>
                <xdr:col>9</xdr:col>
                <xdr:colOff>38100</xdr:colOff>
                <xdr:row>16</xdr:row>
                <xdr:rowOff>95250</xdr:rowOff>
              </to>
            </anchor>
          </controlPr>
        </control>
      </mc:Choice>
      <mc:Fallback>
        <control shapeId="2054" r:id="rId4" name="MessageBox"/>
      </mc:Fallback>
    </mc:AlternateContent>
    <mc:AlternateContent xmlns:mc="http://schemas.openxmlformats.org/markup-compatibility/2006">
      <mc:Choice Requires="x14">
        <control shapeId="2051" r:id="rId6" name="Stop_Button">
          <controlPr defaultSize="0" autoLine="0" autoPict="0" r:id="rId7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6" name="Stop_Button"/>
      </mc:Fallback>
    </mc:AlternateContent>
    <mc:AlternateContent xmlns:mc="http://schemas.openxmlformats.org/markup-compatibility/2006">
      <mc:Choice Requires="x14">
        <control shapeId="2049" r:id="rId8" name="Sta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8" name="Start"/>
      </mc:Fallback>
    </mc:AlternateContent>
    <mc:AlternateContent xmlns:mc="http://schemas.openxmlformats.org/markup-compatibility/2006">
      <mc:Choice Requires="x14">
        <control shapeId="2058" r:id="rId10" name="ComboBox1">
          <controlPr defaultSize="0" autoLine="0" r:id="rId11">
            <anchor moveWithCells="1">
              <from>
                <xdr:col>8</xdr:col>
                <xdr:colOff>19050</xdr:colOff>
                <xdr:row>0</xdr:row>
                <xdr:rowOff>180975</xdr:rowOff>
              </from>
              <to>
                <xdr:col>9</xdr:col>
                <xdr:colOff>838200</xdr:colOff>
                <xdr:row>2</xdr:row>
                <xdr:rowOff>85725</xdr:rowOff>
              </to>
            </anchor>
          </controlPr>
        </control>
      </mc:Choice>
      <mc:Fallback>
        <control shapeId="2058" r:id="rId10" name="ComboBox1"/>
      </mc:Fallback>
    </mc:AlternateContent>
    <mc:AlternateContent xmlns:mc="http://schemas.openxmlformats.org/markup-compatibility/2006">
      <mc:Choice Requires="x14">
        <control shapeId="2064" r:id="rId12" name="CommandButton2">
          <controlPr defaultSize="0" autoLine="0" r:id="rId13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12" name="CommandButton2"/>
      </mc:Fallback>
    </mc:AlternateContent>
    <mc:AlternateContent xmlns:mc="http://schemas.openxmlformats.org/markup-compatibility/2006">
      <mc:Choice Requires="x14">
        <control shapeId="2093" r:id="rId14" name="Command1">
          <controlPr defaultSize="0" autoLine="0" r:id="rId15">
            <anchor moveWithCells="1">
              <from>
                <xdr:col>10</xdr:col>
                <xdr:colOff>733425</xdr:colOff>
                <xdr:row>20</xdr:row>
                <xdr:rowOff>38100</xdr:rowOff>
              </from>
              <to>
                <xdr:col>11</xdr:col>
                <xdr:colOff>1162050</xdr:colOff>
                <xdr:row>21</xdr:row>
                <xdr:rowOff>161925</xdr:rowOff>
              </to>
            </anchor>
          </controlPr>
        </control>
      </mc:Choice>
      <mc:Fallback>
        <control shapeId="2093" r:id="rId14" name="Command1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17" name="Drop Down 32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18" name="Drop Down 33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19" name="Drop Down 34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20" name="Drop Down 36">
          <controlPr defaultSize="0" autoLine="0" autoPict="0">
            <anchor moveWithCells="1">
              <from>
                <xdr:col>11</xdr:col>
                <xdr:colOff>9525</xdr:colOff>
                <xdr:row>12</xdr:row>
                <xdr:rowOff>0</xdr:rowOff>
              </from>
              <to>
                <xdr:col>11</xdr:col>
                <xdr:colOff>838200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21" name="Drop Down 39">
          <controlPr defaultSize="0" autoLine="0" autoPict="0">
            <anchor moveWithCells="1">
              <from>
                <xdr:col>13</xdr:col>
                <xdr:colOff>0</xdr:colOff>
                <xdr:row>11</xdr:row>
                <xdr:rowOff>19050</xdr:rowOff>
              </from>
              <to>
                <xdr:col>13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22" name="Drop Down 41">
          <controlPr defaultSize="0" autoLine="0" autoPict="0">
            <anchor moveWithCells="1">
              <from>
                <xdr:col>14</xdr:col>
                <xdr:colOff>0</xdr:colOff>
                <xdr:row>11</xdr:row>
                <xdr:rowOff>19050</xdr:rowOff>
              </from>
              <to>
                <xdr:col>14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23" name="Drop Down 42">
          <controlPr defaultSize="0" autoLine="0" autoPict="0">
            <anchor moveWithCells="1">
              <from>
                <xdr:col>15</xdr:col>
                <xdr:colOff>0</xdr:colOff>
                <xdr:row>11</xdr:row>
                <xdr:rowOff>19050</xdr:rowOff>
              </from>
              <to>
                <xdr:col>15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24" name="Drop Down 43">
          <controlPr defaultSize="0" autoLine="0" autoPict="0">
            <anchor moveWithCells="1">
              <from>
                <xdr:col>16</xdr:col>
                <xdr:colOff>0</xdr:colOff>
                <xdr:row>11</xdr:row>
                <xdr:rowOff>19050</xdr:rowOff>
              </from>
              <to>
                <xdr:col>16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25" name="Check Box 46">
          <controlPr defaultSize="0" autoFill="0" autoLine="0" autoPict="0">
            <anchor moveWithCells="1">
              <from>
                <xdr:col>10</xdr:col>
                <xdr:colOff>704850</xdr:colOff>
                <xdr:row>21</xdr:row>
                <xdr:rowOff>142875</xdr:rowOff>
              </from>
              <to>
                <xdr:col>11</xdr:col>
                <xdr:colOff>1057275</xdr:colOff>
                <xdr:row>23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A29" sqref="A29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0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Sheet1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Franz Krenn</cp:lastModifiedBy>
  <dcterms:created xsi:type="dcterms:W3CDTF">2015-01-25T11:31:25Z</dcterms:created>
  <dcterms:modified xsi:type="dcterms:W3CDTF">2021-01-28T11:27:37Z</dcterms:modified>
  <cp:category/>
  <cp:contentStatus/>
</cp:coreProperties>
</file>